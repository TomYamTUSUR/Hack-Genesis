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5"/><Relationship Target="docProps/core.xml" Type="http://schemas.openxmlformats.org/package/2006/relationships/metadata/core-properties" Id="rId16"/><Relationship Target="docProps/app.xml" Type="http://schemas.openxmlformats.org/officeDocument/2006/relationships/extended-properties" Id="rId1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ashboard" r:id="rId1"/>
    <sheet sheetId="2" name="Providers" r:id="rId2"/>
    <sheet sheetId="3" name="Routing" r:id="rId3"/>
    <sheet sheetId="4" name="Segments" r:id="rId4"/>
    <sheet sheetId="5" name="Period Comparison" r:id="rId5"/>
    <sheet sheetId="6" name="Recommendations" r:id="rId6"/>
  </sheets>
</workbook>
</file>

<file path=xl/styles.xml><?xml version="1.0" encoding="utf-8"?>
<styleSheet xmlns="http://schemas.openxmlformats.org/spreadsheetml/2006/main">
  <numFmts count="16">
    <numFmt formatCode="yyyy/mm/dd" numFmtId="100"/>
    <numFmt formatCode="yyyy/mm/dd hh:mm:ss" numFmtId="101"/>
    <numFmt formatCode="#,##0" numFmtId="102"/>
    <numFmt formatCode="#,##0.00" numFmtId="103"/>
    <numFmt formatCode="0.00\%" numFmtId="104"/>
    <numFmt formatCode="0.00\ \s" numFmtId="105"/>
    <numFmt formatCode="0.00\%" numFmtId="106"/>
    <numFmt formatCode="0.00\%" numFmtId="107"/>
    <numFmt formatCode="0.00\%" numFmtId="108"/>
    <numFmt formatCode="0.00\%" numFmtId="109"/>
    <numFmt formatCode="0.00\%" numFmtId="110"/>
    <numFmt formatCode="0.00\%" numFmtId="111"/>
    <numFmt formatCode="#,##0" numFmtId="112"/>
    <numFmt formatCode="0.00\%" numFmtId="113"/>
    <numFmt formatCode="0.00\ \s" numFmtId="114"/>
    <numFmt formatCode="#,##0.00" numFmtId="115"/>
  </numFmts>
  <fonts count="17">
    <font>
      <name val="Arial"/>
      <sz val="11"/>
      <family val="1"/>
    </font>
    <font>
      <name val="Arial"/>
      <sz val="18"/>
      <family val="1"/>
      <b val="1"/>
      <color rgb="FFFFFFFF"/>
    </font>
    <font>
      <name val="Arial"/>
      <sz val="12"/>
      <family val="1"/>
      <b val="1"/>
      <color rgb="FFFFFFFF"/>
    </font>
    <font>
      <name val="Arial"/>
      <sz val="11"/>
      <family val="1"/>
      <b val="1"/>
      <color rgb="FF1F1F1F"/>
    </font>
    <font>
      <name val="Arial"/>
      <sz val="11"/>
      <family val="1"/>
      <b val="1"/>
      <color rgb="FF44546A"/>
    </font>
    <font>
      <name val="Arial"/>
      <sz val="16"/>
      <family val="1"/>
      <b val="1"/>
      <color rgb="FF1F4E78"/>
    </font>
    <font>
      <name val="Arial"/>
      <sz val="11"/>
      <family val="1"/>
      <b val="1"/>
      <color rgb="FF7F6000"/>
    </font>
    <font>
      <name val="Arial"/>
      <sz val="11"/>
      <family val="1"/>
      <b val="1"/>
      <color rgb="FF9C0006"/>
    </font>
    <font>
      <name val="Arial"/>
      <sz val="11"/>
      <family val="1"/>
      <b val="1"/>
      <color rgb="FF274E13"/>
    </font>
    <font>
      <name val="Arial"/>
      <sz val="11"/>
      <family val="1"/>
      <color rgb="FF7F7F7F"/>
    </font>
    <font>
      <name val="Arial"/>
      <sz val="11"/>
      <family val="1"/>
      <color rgb="FF9C0006"/>
    </font>
    <font>
      <name val="Arial"/>
      <sz val="11"/>
      <family val="1"/>
      <color rgb="FF7F6000"/>
    </font>
    <font>
      <name val="Arial"/>
      <sz val="11"/>
      <family val="1"/>
      <color rgb="FF274E13"/>
    </font>
    <font>
      <name val="Arial"/>
      <sz val="16"/>
      <family val="1"/>
      <b val="1"/>
      <color rgb="FF1F4E78"/>
    </font>
    <font>
      <name val="Arial"/>
      <sz val="16"/>
      <family val="1"/>
      <b val="1"/>
      <color rgb="FF1F4E78"/>
    </font>
    <font>
      <name val="Arial"/>
      <sz val="16"/>
      <family val="1"/>
      <b val="1"/>
      <color rgb="FF1F4E78"/>
    </font>
    <font>
      <name val="Arial"/>
      <sz val="16"/>
      <family val="1"/>
      <b val="1"/>
      <color rgb="FF1F4E78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D9EAF7"/>
        <bgColor rgb="FFD9EAF7"/>
      </patternFill>
    </fill>
    <fill>
      <patternFill patternType="solid">
        <fgColor rgb="FFEAF2F8"/>
        <bgColor rgb="FFEAF2F8"/>
      </patternFill>
    </fill>
    <fill>
      <patternFill patternType="solid">
        <fgColor rgb="FFFFFFFF"/>
        <bgColor rgb="FFFFFFFF"/>
      </patternFill>
    </fill>
    <fill>
      <patternFill patternType="solid">
        <fgColor rgb="FFFFE699"/>
        <bgColor rgb="FFFFE69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center" vertical="center"/>
    </xf>
    <xf numFmtId="0" fontId="2" fillId="3" borderId="3" applyNumberFormat="0" applyFont="1" applyFill="1" applyBorder="1" applyAlignment="1" applyProtection="0">
      <alignment horizontal="left" vertical="center"/>
    </xf>
    <xf numFmtId="0" fontId="3" fillId="4" borderId="4" applyNumberFormat="0" applyFont="1" applyFill="1" applyBorder="1" applyAlignment="1" applyProtection="0">
      <alignment horizontal="center" vertical="center" wrapText="1"/>
    </xf>
    <xf numFmtId="0" fontId="0" fillId="0" borderId="5" applyNumberFormat="0" applyFont="0" applyFill="0" applyBorder="1" applyAlignment="1" applyProtection="0">
      <alignment vertical="center"/>
    </xf>
    <xf numFmtId="0" fontId="0" fillId="0" borderId="6" applyNumberFormat="0" applyFont="0" applyFill="0" applyBorder="1" applyAlignment="1" applyProtection="0">
      <alignment horizontal="center" vertical="center"/>
    </xf>
    <xf numFmtId="102" fontId="0" fillId="0" borderId="7" applyNumberFormat="1" applyFont="0" applyFill="0" applyBorder="1" applyAlignment="0" applyProtection="0"/>
    <xf numFmtId="103" fontId="0" fillId="0" borderId="8" applyNumberFormat="1" applyFont="0" applyFill="0" applyBorder="1" applyAlignment="0" applyProtection="0"/>
    <xf numFmtId="104" fontId="0" fillId="0" borderId="9" applyNumberFormat="1" applyFont="0" applyFill="0" applyBorder="1" applyAlignment="0" applyProtection="0"/>
    <xf numFmtId="105" fontId="0" fillId="0" borderId="10" applyNumberFormat="1" applyFont="0" applyFill="0" applyBorder="1" applyAlignment="0" applyProtection="0"/>
    <xf numFmtId="0" fontId="4" fillId="5" borderId="11" applyNumberFormat="0" applyFont="1" applyFill="1" applyBorder="1" applyAlignment="1" applyProtection="0">
      <alignment horizontal="center" vertical="center"/>
    </xf>
    <xf numFmtId="0" fontId="5" fillId="6" borderId="12" applyNumberFormat="0" applyFont="1" applyFill="1" applyBorder="1" applyAlignment="1" applyProtection="0">
      <alignment horizontal="center" vertical="center"/>
    </xf>
    <xf numFmtId="106" fontId="6" fillId="7" borderId="13" applyNumberFormat="1" applyFont="1" applyFill="1" applyBorder="1" applyAlignment="1" applyProtection="0">
      <alignment horizontal="center"/>
    </xf>
    <xf numFmtId="107" fontId="7" fillId="8" borderId="14" applyNumberFormat="1" applyFont="1" applyFill="1" applyBorder="1" applyAlignment="1" applyProtection="0">
      <alignment horizontal="center"/>
    </xf>
    <xf numFmtId="108" fontId="8" fillId="9" borderId="15" applyNumberFormat="1" applyFont="1" applyFill="1" applyBorder="1" applyAlignment="1" applyProtection="0">
      <alignment horizontal="center"/>
    </xf>
    <xf numFmtId="0" fontId="9" fillId="10" borderId="16" applyNumberFormat="0" applyFont="1" applyFill="1" applyBorder="1" applyAlignment="1" applyProtection="0">
      <alignment horizontal="center"/>
    </xf>
    <xf numFmtId="109" fontId="10" fillId="11" borderId="17" applyNumberFormat="1" applyFont="1" applyFill="1" applyBorder="1" applyAlignment="0" applyProtection="0"/>
    <xf numFmtId="110" fontId="11" fillId="12" borderId="18" applyNumberFormat="1" applyFont="1" applyFill="1" applyBorder="1" applyAlignment="0" applyProtection="0"/>
    <xf numFmtId="111" fontId="12" fillId="13" borderId="19" applyNumberFormat="1" applyFont="1" applyFill="1" applyBorder="1" applyAlignment="0" applyProtection="0"/>
    <xf numFmtId="0" fontId="0" fillId="0" borderId="20" applyNumberFormat="0" applyFont="0" applyFill="0" applyBorder="1" applyAlignment="1" applyProtection="0">
      <alignment vertical="top" wrapText="1"/>
    </xf>
    <xf numFmtId="112" fontId="13" fillId="0" borderId="21" applyNumberFormat="1" applyFont="1" applyFill="0" applyBorder="1" applyAlignment="1" applyProtection="0">
      <alignment horizontal="center" vertical="center"/>
    </xf>
    <xf numFmtId="113" fontId="14" fillId="0" borderId="22" applyNumberFormat="1" applyFont="1" applyFill="0" applyBorder="1" applyAlignment="1" applyProtection="0">
      <alignment horizontal="center" vertical="center"/>
    </xf>
    <xf numFmtId="114" fontId="15" fillId="0" borderId="23" applyNumberFormat="1" applyFont="1" applyFill="0" applyBorder="1" applyAlignment="1" applyProtection="0">
      <alignment horizontal="center" vertical="center"/>
    </xf>
    <xf numFmtId="115" fontId="16" fillId="0" borderId="24" applyNumberFormat="1" applyFont="1" applyFill="0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Traffic: Fact vs Target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Fact %</c:v>
                </c:pt>
              </c:strCache>
            </c:strRef>
          </c:tx>
          <c:cat>
            <c:strRef>
              <c:f>'Dashboard'!$A$10:$A$13</c:f>
              <c:strCache>
                <c:ptCount val="4"/>
                <c:pt idx="0">
                  <c:v>vipay</c:v>
                </c:pt>
                <c:pt idx="1">
                  <c:v>payflow</c:v>
                </c:pt>
                <c:pt idx="2">
                  <c:v>quickpay</c:v>
                </c:pt>
                <c:pt idx="3">
                  <c:v>spacepayments</c:v>
                </c:pt>
              </c:strCache>
            </c:strRef>
          </c:cat>
          <c:val>
            <c:numRef>
              <c:f>'Dashboard'!$B$10:$B$13</c:f>
              <c:numCache>
                <c:formatCode>General</c:formatCode>
                <c:ptCount val="4"/>
                <c:pt idx="0" formatCode="General">
                  <c:v>37.37</c:v>
                </c:pt>
                <c:pt idx="1" formatCode="General">
                  <c:v>14.74</c:v>
                </c:pt>
                <c:pt idx="2" formatCode="General">
                  <c:v>45.79</c:v>
                </c:pt>
                <c:pt idx="3" formatCode="General">
                  <c:v>2.11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Target %</c:v>
                </c:pt>
              </c:strCache>
            </c:strRef>
          </c:tx>
          <c:cat>
            <c:strRef>
              <c:f>'Dashboard'!$A$10:$A$13</c:f>
              <c:strCache>
                <c:ptCount val="4"/>
                <c:pt idx="0">
                  <c:v>vipay</c:v>
                </c:pt>
                <c:pt idx="1">
                  <c:v>payflow</c:v>
                </c:pt>
                <c:pt idx="2">
                  <c:v>quickpay</c:v>
                </c:pt>
                <c:pt idx="3">
                  <c:v>spacepayments</c:v>
                </c:pt>
              </c:strCache>
            </c:strRef>
          </c:cat>
          <c:val>
            <c:numRef>
              <c:f>'Dashboard'!$C$10:$C$13</c:f>
              <c:numCache>
                <c:formatCode>General</c:formatCode>
                <c:ptCount val="4"/>
                <c:pt idx="0" formatCode="General">
                  <c:v>40</c:v>
                </c:pt>
                <c:pt idx="1" formatCode="General">
                  <c:v>35</c:v>
                </c:pt>
                <c:pt idx="2" formatCode="General">
                  <c:v>25</c:v>
                </c:pt>
                <c:pt idx="3" formatCode="General">
                  <c:v>0</c:v>
                </c:pt>
              </c:numCache>
            </c:numRef>
          </c:val>
          <c:shape val="box"/>
        </c:ser>
        <c:axId val="13901008"/>
        <c:axId val="1076067"/>
      </c:barChart>
      <c:catAx>
        <c:axId val="13901008"/>
        <c:scaling>
          <c:orientation val="minMax"/>
        </c:scaling>
        <c:delete val="0"/>
        <c:axPos val="b"/>
        <c:majorGridlines/>
        <c:numFmt formatCode="General" sourceLinked="1"/>
        <c:majorTickMark val="cross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76067"/>
        <c:crosses val="autoZero"/>
        <c:auto val="1"/>
        <c:lblAlgn val="ctr"/>
        <c:lblOffset val="100"/>
      </c:catAx>
      <c:valAx>
        <c:axId val="1076067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901008"/>
        <c:crosses val="autoZero"/>
        <c:crossBetween val="between"/>
      </c:valAx>
    </c:plotArea>
    <c:legend>
      <c:legendPos val="b"/>
      <c:layout/>
      <c:overlay val="0"/>
    </c:legend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Daily Limit Utilization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bar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Utilization %</c:v>
                </c:pt>
              </c:strCache>
            </c:strRef>
          </c:tx>
          <c:cat>
            <c:strRef>
              <c:f>'Dashboard'!$A$17:$A$20</c:f>
              <c:strCache>
                <c:ptCount val="4"/>
                <c:pt idx="0">
                  <c:v>vipay</c:v>
                </c:pt>
                <c:pt idx="1">
                  <c:v>payflow</c:v>
                </c:pt>
                <c:pt idx="2">
                  <c:v>quickpay</c:v>
                </c:pt>
                <c:pt idx="3">
                  <c:v>spacepayments</c:v>
                </c:pt>
              </c:strCache>
            </c:strRef>
          </c:cat>
          <c:val>
            <c:numRef>
              <c:f>'Dashboard'!$D$17:$D$20</c:f>
              <c:numCache>
                <c:formatCode>General</c:formatCode>
                <c:ptCount val="4"/>
                <c:pt idx="0" formatCode="General">
                  <c:v>77.11</c:v>
                </c:pt>
                <c:pt idx="1" formatCode="General">
                  <c:v>99.98</c:v>
                </c:pt>
                <c:pt idx="2" formatCode="General">
                  <c:v>47.96</c:v>
                </c:pt>
              </c:numCache>
            </c:numRef>
          </c:val>
          <c:shape val="box"/>
        </c:ser>
        <c:axId val="4017457"/>
        <c:axId val="9236030"/>
      </c:barChart>
      <c:catAx>
        <c:axId val="4017457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236030"/>
        <c:crosses val="autoZero"/>
        <c:auto val="1"/>
        <c:lblAlgn val="ctr"/>
        <c:lblOffset val="100"/>
      </c:catAx>
      <c:valAx>
        <c:axId val="9236030"/>
        <c:scaling>
          <c:orientation val="minMax"/>
        </c:scaling>
        <c:delete val="0"/>
        <c:axPos val="b"/>
        <c:majorGridlines/>
        <c:numFmt formatCode="General" sourceLinked="1"/>
        <c:majorTickMark val="cross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01745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Skip Reasons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bar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Count</c:v>
                </c:pt>
              </c:strCache>
            </c:strRef>
          </c:tx>
          <c:cat>
            <c:strRef>
              <c:f>'Dashboard'!$A$24:$A$27</c:f>
              <c:strCache>
                <c:ptCount val="4"/>
                <c:pt idx="0">
                  <c:v>bank_not_in_list</c:v>
                </c:pt>
                <c:pt idx="1">
                  <c:v>daily_amount_limit_exceeded</c:v>
                </c:pt>
                <c:pt idx="2">
                  <c:v>amount_exceeds_limit</c:v>
                </c:pt>
                <c:pt idx="3">
                  <c:v>amount_below_minimum</c:v>
                </c:pt>
              </c:strCache>
            </c:strRef>
          </c:cat>
          <c:val>
            <c:numRef>
              <c:f>'Dashboard'!$B$24:$B$27</c:f>
              <c:numCache>
                <c:formatCode>General</c:formatCode>
                <c:ptCount val="4"/>
                <c:pt idx="0" formatCode="General">
                  <c:v>106</c:v>
                </c:pt>
                <c:pt idx="1" formatCode="General">
                  <c:v>63</c:v>
                </c:pt>
                <c:pt idx="2" formatCode="General">
                  <c:v>33</c:v>
                </c:pt>
                <c:pt idx="3" formatCode="General">
                  <c:v>16</c:v>
                </c:pt>
              </c:numCache>
            </c:numRef>
          </c:val>
          <c:shape val="box"/>
        </c:ser>
        <c:axId val="12288505"/>
        <c:axId val="8810312"/>
      </c:barChart>
      <c:catAx>
        <c:axId val="12288505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810312"/>
        <c:crosses val="autoZero"/>
        <c:auto val="1"/>
        <c:lblAlgn val="ctr"/>
        <c:lblOffset val="100"/>
      </c:catAx>
      <c:valAx>
        <c:axId val="8810312"/>
        <c:scaling>
          <c:orientation val="minMax"/>
        </c:scaling>
        <c:delete val="0"/>
        <c:axPos val="b"/>
        <c:majorGridlines/>
        <c:numFmt formatCode="General" sourceLinked="1"/>
        <c:majorTickMark val="cross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28850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Attempt Count Distribution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Operations</c:v>
                </c:pt>
              </c:strCache>
            </c:strRef>
          </c:tx>
          <c:cat>
            <c:strRef>
              <c:f>'Routing'!$A$13:$A$16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'Routing'!$B$13:$B$16</c:f>
              <c:numCache>
                <c:formatCode>General</c:formatCode>
                <c:ptCount val="4"/>
                <c:pt idx="0" formatCode="General">
                  <c:v>1</c:v>
                </c:pt>
                <c:pt idx="1" formatCode="General">
                  <c:v>34</c:v>
                </c:pt>
                <c:pt idx="2" formatCode="General">
                  <c:v>51</c:v>
                </c:pt>
                <c:pt idx="3" formatCode="General">
                  <c:v>4</c:v>
                </c:pt>
              </c:numCache>
            </c:numRef>
          </c:val>
          <c:shape val="box"/>
        </c:ser>
        <c:axId val="2644286"/>
        <c:axId val="9988779"/>
      </c:barChart>
      <c:catAx>
        <c:axId val="2644286"/>
        <c:scaling>
          <c:orientation val="minMax"/>
        </c:scaling>
        <c:delete val="0"/>
        <c:axPos val="b"/>
        <c:majorGridlines/>
        <c:numFmt formatCode="General" sourceLinked="1"/>
        <c:majorTickMark val="cross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988779"/>
        <c:crosses val="autoZero"/>
        <c:auto val="1"/>
        <c:lblAlgn val="ctr"/>
        <c:lblOffset val="100"/>
      </c:catAx>
      <c:valAx>
        <c:axId val="9988779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64428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?><Relationships xmlns="http://schemas.openxmlformats.org/package/2006/relationships"><Relationship Target="../charts/chart1.xml" Type="http://schemas.openxmlformats.org/officeDocument/2006/relationships/chart" Id="rId9"/><Relationship Target="../charts/chart2.xml" Type="http://schemas.openxmlformats.org/officeDocument/2006/relationships/chart" Id="rId10"/><Relationship Target="../charts/chart3.xml" Type="http://schemas.openxmlformats.org/officeDocument/2006/relationships/chart" Id="rId11"/></Relationships>
</file>

<file path=xl/drawings/_rels/drawing2.xml.rels><?xml version="1.0" encoding="UTF-8"?><Relationships xmlns="http://schemas.openxmlformats.org/package/2006/relationships"><Relationship Target="../charts/chart4.xml" Type="http://schemas.openxmlformats.org/officeDocument/2006/relationships/chart" Id="rId12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12</xdr:col>
      <xdr:colOff>0</xdr:colOff>
      <xdr:row>19</xdr:row>
      <xdr:rowOff>0</xdr:rowOff>
    </xdr:to>
    <xdr:graphicFrame>
      <xdr:nvGraphicFramePr>
        <xdr:cNvPr id="0" name="item_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12</xdr:col>
      <xdr:colOff>0</xdr:colOff>
      <xdr:row>33</xdr:row>
      <xdr:rowOff>0</xdr:rowOff>
    </xdr:to>
    <xdr:graphicFrame>
      <xdr:nvGraphicFramePr>
        <xdr:cNvPr id="0" name="item_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0</xdr:colOff>
      <xdr:row>35</xdr:row>
      <xdr:rowOff>0</xdr:rowOff>
    </xdr:from>
    <xdr:to>
      <xdr:col>12</xdr:col>
      <xdr:colOff>0</xdr:colOff>
      <xdr:row>47</xdr:row>
      <xdr:rowOff>0</xdr:rowOff>
    </xdr:to>
    <xdr:graphicFrame>
      <xdr:nvGraphicFramePr>
        <xdr:cNvPr id="0" name="item_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1" name="item_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3"/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Relationship Target="../drawings/drawing2.xml" Type="http://schemas.openxmlformats.org/officeDocument/2006/relationships/drawing" Id="rId14"/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8" min="1" max="1" bestFit="1" customWidth="1"/>
    <col width="16" min="2" max="2" bestFit="1" customWidth="1"/>
    <col width="16" min="3" max="3" bestFit="1" customWidth="1"/>
    <col width="16" min="4" max="4" bestFit="1" customWidth="1"/>
    <col width="3" min="5" max="5" bestFit="1" customWidth="1"/>
    <col width="15" min="6" max="6" bestFit="1" customWidth="1"/>
    <col width="15" min="7" max="7" bestFit="1" customWidth="1"/>
    <col width="15" min="8" max="8" bestFit="1" customWidth="1"/>
  </cols>
  <sheetData>
    <row customHeight="1" ht="26" r="1">
      <c r="A1" s="3" t="inlineStr">
        <is>
          <t>SMART ROUTING ANALYTICS</t>
        </is>
      </c>
      <c r="B1" s="3"/>
      <c r="C1" s="3"/>
      <c r="D1" s="3"/>
      <c r="E1" s="3"/>
      <c r="F1" s="3"/>
      <c r="G1" s="3"/>
      <c r="H1" s="3"/>
    </row>
    <row customHeight="1" ht="8" r="2">
      <c r="A2" s="3"/>
      <c r="B2" s="3"/>
      <c r="C2" s="3"/>
      <c r="D2" s="3"/>
      <c r="E2" s="3"/>
      <c r="F2" s="3"/>
      <c r="G2" s="3"/>
      <c r="H2" s="3"/>
    </row>
    <row r="3">
      <c r="A3" s="5" t="inlineStr">
        <is>
          <t>Period</t>
        </is>
      </c>
      <c r="B3" s="6" t="inlineStr">
        <is>
          <t>2026-07-29..2026-07-30</t>
        </is>
      </c>
      <c r="C3" s="5" t="inlineStr">
        <is>
          <t>Generated at</t>
        </is>
      </c>
      <c r="D3" s="6" t="inlineStr">
        <is>
          <t>2026-09-07T02:33:18+07:00</t>
        </is>
      </c>
      <c r="E3" s="0"/>
      <c r="F3" s="0"/>
      <c r="G3" s="0"/>
      <c r="H3" s="0"/>
    </row>
    <row r="4">
      <c r="A4" s="0"/>
      <c r="B4" s="0"/>
      <c r="C4" s="0"/>
      <c r="D4" s="0"/>
      <c r="E4" s="0"/>
      <c r="F4" s="0"/>
      <c r="G4" s="0"/>
      <c r="H4" s="0"/>
    </row>
    <row customHeight="1" ht="22" r="5">
      <c r="A5" s="12" t="inlineStr">
        <is>
          <t>Operations</t>
        </is>
      </c>
      <c r="B5" s="12"/>
      <c r="C5" s="12" t="inlineStr">
        <is>
          <t>Approval rate</t>
        </is>
      </c>
      <c r="D5" s="12"/>
      <c r="E5" s="12" t="inlineStr">
        <is>
          <t>Avg latency</t>
        </is>
      </c>
      <c r="F5" s="12"/>
      <c r="G5" s="12" t="inlineStr">
        <is>
          <t>Total amount</t>
        </is>
      </c>
      <c r="H5" s="12"/>
    </row>
    <row customHeight="1" ht="30" r="6">
      <c r="A6" s="22" t="n">
        <v>190</v>
      </c>
      <c r="B6" s="13"/>
      <c r="C6" s="23" t="n">
        <v>83.16</v>
      </c>
      <c r="D6" s="13"/>
      <c r="E6" s="24" t="n">
        <v>89.96</v>
      </c>
      <c r="F6" s="13"/>
      <c r="G6" s="25" t="n">
        <v>6887000</v>
      </c>
      <c r="H6" s="13"/>
    </row>
    <row r="7">
      <c r="A7" s="0"/>
      <c r="B7" s="0"/>
      <c r="C7" s="0"/>
      <c r="D7" s="0"/>
      <c r="E7" s="0"/>
      <c r="F7" s="0"/>
      <c r="G7" s="0"/>
      <c r="H7" s="0"/>
    </row>
    <row r="8">
      <c r="A8" s="4" t="inlineStr">
        <is>
          <t>Traffic distribution: fact vs target</t>
        </is>
      </c>
    </row>
    <row r="9">
      <c r="A9" s="5" t="inlineStr">
        <is>
          <t>Provider</t>
        </is>
      </c>
      <c r="B9" s="5" t="inlineStr">
        <is>
          <t>Fact share %</t>
        </is>
      </c>
      <c r="C9" s="5" t="inlineStr">
        <is>
          <t>Target share %</t>
        </is>
      </c>
      <c r="D9" s="5" t="inlineStr">
        <is>
          <t>Deviation pp</t>
        </is>
      </c>
    </row>
    <row r="10">
      <c r="A10" s="6" t="inlineStr">
        <is>
          <t>vipay</t>
        </is>
      </c>
      <c r="B10" s="10" t="n">
        <v>37.37</v>
      </c>
      <c r="C10" s="10" t="n">
        <v>40</v>
      </c>
      <c r="D10" s="9" t="n">
        <v>-2.63</v>
      </c>
    </row>
    <row r="11">
      <c r="A11" s="6" t="inlineStr">
        <is>
          <t>payflow</t>
        </is>
      </c>
      <c r="B11" s="10" t="n">
        <v>14.74</v>
      </c>
      <c r="C11" s="10" t="n">
        <v>35</v>
      </c>
      <c r="D11" s="9" t="n">
        <v>-20.26</v>
      </c>
    </row>
    <row r="12">
      <c r="A12" s="6" t="inlineStr">
        <is>
          <t>quickpay</t>
        </is>
      </c>
      <c r="B12" s="10" t="n">
        <v>45.79</v>
      </c>
      <c r="C12" s="10" t="n">
        <v>25</v>
      </c>
      <c r="D12" s="9" t="n">
        <v>20.79</v>
      </c>
    </row>
    <row r="13">
      <c r="A13" s="6" t="inlineStr">
        <is>
          <t>spacepayments</t>
        </is>
      </c>
      <c r="B13" s="10" t="n">
        <v>2.11</v>
      </c>
      <c r="C13" s="10" t="n">
        <v>0</v>
      </c>
      <c r="D13" s="9" t="n">
        <v>2.11</v>
      </c>
    </row>
    <row r="14">
      <c r="A14" s="0"/>
      <c r="B14" s="0"/>
      <c r="C14" s="0"/>
      <c r="D14" s="0"/>
      <c r="E14" s="0"/>
      <c r="F14" s="0"/>
      <c r="G14" s="0"/>
      <c r="H14" s="0"/>
    </row>
    <row r="15">
      <c r="A15" s="4" t="inlineStr">
        <is>
          <t>Daily limit utilization</t>
        </is>
      </c>
    </row>
    <row r="16">
      <c r="A16" s="5" t="inlineStr">
        <is>
          <t>Provider</t>
        </is>
      </c>
      <c r="B16" s="5" t="inlineStr">
        <is>
          <t>Used</t>
        </is>
      </c>
      <c r="C16" s="5" t="inlineStr">
        <is>
          <t>Limit</t>
        </is>
      </c>
      <c r="D16" s="5" t="inlineStr">
        <is>
          <t>Utilization %</t>
        </is>
      </c>
    </row>
    <row r="17">
      <c r="A17" s="6" t="inlineStr">
        <is>
          <t>vipay</t>
        </is>
      </c>
      <c r="B17" s="9" t="n">
        <v>3855500</v>
      </c>
      <c r="C17" s="9" t="n">
        <v>5000000</v>
      </c>
      <c r="D17" s="16" t="n">
        <v>77.11</v>
      </c>
    </row>
    <row r="18">
      <c r="A18" s="6" t="inlineStr">
        <is>
          <t>payflow</t>
        </is>
      </c>
      <c r="B18" s="9" t="n">
        <v>2999400</v>
      </c>
      <c r="C18" s="9" t="n">
        <v>3000000</v>
      </c>
      <c r="D18" s="15" t="n">
        <v>99.98</v>
      </c>
    </row>
    <row r="19">
      <c r="A19" s="6" t="inlineStr">
        <is>
          <t>quickpay</t>
        </is>
      </c>
      <c r="B19" s="9" t="n">
        <v>3837000</v>
      </c>
      <c r="C19" s="9" t="n">
        <v>8000000</v>
      </c>
      <c r="D19" s="16" t="n">
        <v>47.96</v>
      </c>
    </row>
    <row r="20">
      <c r="A20" s="6" t="inlineStr">
        <is>
          <t>spacepayments</t>
        </is>
      </c>
      <c r="B20" s="9" t="n">
        <v>3600</v>
      </c>
      <c r="C20" s="9"/>
      <c r="D20" s="17"/>
    </row>
    <row r="21">
      <c r="A21" s="0"/>
      <c r="B21" s="0"/>
      <c r="C21" s="0"/>
      <c r="D21" s="0"/>
      <c r="E21" s="0"/>
      <c r="F21" s="0"/>
      <c r="G21" s="0"/>
      <c r="H21" s="0"/>
    </row>
    <row r="22">
      <c r="A22" s="4" t="inlineStr">
        <is>
          <t>Provider skip reasons</t>
        </is>
      </c>
    </row>
    <row r="23">
      <c r="A23" s="5" t="inlineStr">
        <is>
          <t>Reason</t>
        </is>
      </c>
      <c r="B23" s="5" t="inlineStr">
        <is>
          <t>Count</t>
        </is>
      </c>
    </row>
    <row r="24">
      <c r="A24" s="6" t="inlineStr">
        <is>
          <t>bank_not_in_list</t>
        </is>
      </c>
      <c r="B24" s="8" t="n">
        <v>106</v>
      </c>
    </row>
    <row r="25">
      <c r="A25" s="6" t="inlineStr">
        <is>
          <t>daily_amount_limit_exceeded</t>
        </is>
      </c>
      <c r="B25" s="8" t="n">
        <v>63</v>
      </c>
    </row>
    <row r="26">
      <c r="A26" s="6" t="inlineStr">
        <is>
          <t>amount_exceeds_limit</t>
        </is>
      </c>
      <c r="B26" s="8" t="n">
        <v>33</v>
      </c>
    </row>
    <row r="27">
      <c r="A27" s="6" t="inlineStr">
        <is>
          <t>amount_below_minimum</t>
        </is>
      </c>
      <c r="B27" s="8" t="n">
        <v>16</v>
      </c>
    </row>
  </sheetData>
  <sheetCalcPr fullCalcOnLoad="1"/>
  <mergeCells count="12">
    <mergeCell ref="A1:H2"/>
    <mergeCell ref="A5:B5"/>
    <mergeCell ref="C5:D5"/>
    <mergeCell ref="E5:F5"/>
    <mergeCell ref="G5:H5"/>
    <mergeCell ref="A6:B6"/>
    <mergeCell ref="C6:D6"/>
    <mergeCell ref="E6:F6"/>
    <mergeCell ref="G6:H6"/>
    <mergeCell ref="A8:D8"/>
    <mergeCell ref="A15:D15"/>
    <mergeCell ref="A22:D22"/>
  </mergeCells>
  <printOptions gridLines="0" headings="0" horizontalCentered="0" verticalCentered="0"/>
  <pageMargins left="0.75" right="0.75" top="1.0" bottom="1.0" header="0.5" footer="0.5"/>
  <pageSetup/>
  <headerFooter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>
      <pane state="frozen" topLeftCell="A2" xSplit="0" ySplit="1"/>
    </sheetView>
  </sheetViews>
  <sheetFormatPr baseColWidth="8" defaultRowHeight="18"/>
  <cols>
    <col width="18" min="1" max="1" bestFit="1" customWidth="1"/>
    <col width="10" min="2" max="2" bestFit="1" customWidth="1"/>
    <col width="12" min="3" max="3" bestFit="1" customWidth="1"/>
    <col width="12" min="4" max="4" bestFit="1" customWidth="1"/>
    <col width="13" min="5" max="5" bestFit="1" customWidth="1"/>
    <col width="14" min="6" max="6" bestFit="1" customWidth="1"/>
    <col width="15" min="7" max="7" bestFit="1" customWidth="1"/>
    <col width="16" min="8" max="8" bestFit="1" customWidth="1"/>
    <col width="10" min="9" max="9" bestFit="1" customWidth="1"/>
    <col width="10" min="10" max="10" bestFit="1" customWidth="1"/>
    <col width="10" min="11" max="11" bestFit="1" customWidth="1"/>
    <col width="16" min="12" max="12" bestFit="1" customWidth="1"/>
    <col width="14" min="13" max="13" bestFit="1" customWidth="1"/>
    <col width="14" min="14" max="14" bestFit="1" customWidth="1"/>
    <col width="14" min="15" max="15" bestFit="1" customWidth="1"/>
    <col width="14" min="16" max="16" bestFit="1" customWidth="1"/>
    <col width="14" min="17" max="17" bestFit="1" customWidth="1"/>
    <col width="18" min="18" max="18" bestFit="1" customWidth="1"/>
    <col width="12" min="19" max="19" bestFit="1" customWidth="1"/>
    <col width="10" min="20" max="20" bestFit="1" customWidth="1"/>
  </cols>
  <sheetData>
    <row customHeight="1" ht="32" r="1">
      <c r="A1" s="5" t="inlineStr">
        <is>
          <t>Provider</t>
        </is>
      </c>
      <c r="B1" s="5" t="inlineStr">
        <is>
          <t>Count</t>
        </is>
      </c>
      <c r="C1" s="5" t="inlineStr">
        <is>
          <t>Share %</t>
        </is>
      </c>
      <c r="D1" s="5" t="inlineStr">
        <is>
          <t>Target %</t>
        </is>
      </c>
      <c r="E1" s="5" t="inlineStr">
        <is>
          <t>Deviation pp</t>
        </is>
      </c>
      <c r="F1" s="5" t="inlineStr">
        <is>
          <t>Amount</t>
        </is>
      </c>
      <c r="G1" s="5" t="inlineStr">
        <is>
          <t>Volume share %</t>
        </is>
      </c>
      <c r="H1" s="5" t="inlineStr">
        <is>
          <t>Target volume %</t>
        </is>
      </c>
      <c r="I1" s="5" t="inlineStr">
        <is>
          <t>Approved</t>
        </is>
      </c>
      <c r="J1" s="5" t="inlineStr">
        <is>
          <t>Rejected</t>
        </is>
      </c>
      <c r="K1" s="5" t="inlineStr">
        <is>
          <t>Expired</t>
        </is>
      </c>
      <c r="L1" s="5" t="inlineStr">
        <is>
          <t>Approval rate %</t>
        </is>
      </c>
      <c r="M1" s="5" t="inlineStr">
        <is>
          <t>Avg latency</t>
        </is>
      </c>
      <c r="N1" s="5" t="inlineStr">
        <is>
          <t>P50 latency</t>
        </is>
      </c>
      <c r="O1" s="5" t="inlineStr">
        <is>
          <t>P95 latency</t>
        </is>
      </c>
      <c r="P1" s="5" t="inlineStr">
        <is>
          <t>Daily used</t>
        </is>
      </c>
      <c r="Q1" s="5" t="inlineStr">
        <is>
          <t>Daily limit</t>
        </is>
      </c>
      <c r="R1" s="5" t="inlineStr">
        <is>
          <t>Daily utilization %</t>
        </is>
      </c>
      <c r="S1" s="5" t="inlineStr">
        <is>
          <t>Status</t>
        </is>
      </c>
      <c r="T1" s="5" t="inlineStr">
        <is>
          <t>Priority</t>
        </is>
      </c>
    </row>
    <row r="2">
      <c r="A2" s="6" t="inlineStr">
        <is>
          <t>vipay</t>
        </is>
      </c>
      <c r="B2" s="8" t="n">
        <v>71</v>
      </c>
      <c r="C2" s="10" t="n">
        <v>37.37</v>
      </c>
      <c r="D2" s="10" t="n">
        <v>40</v>
      </c>
      <c r="E2" s="9" t="n">
        <v>-2.63</v>
      </c>
      <c r="F2" s="9" t="n">
        <v>1874500</v>
      </c>
      <c r="G2" s="10" t="n">
        <v>27.22</v>
      </c>
      <c r="H2" s="10" t="n">
        <v>50.0</v>
      </c>
      <c r="I2" s="8" t="n">
        <v>62</v>
      </c>
      <c r="J2" s="8" t="n">
        <v>6</v>
      </c>
      <c r="K2" s="8" t="n">
        <v>3</v>
      </c>
      <c r="L2" s="10" t="n">
        <v>87.32</v>
      </c>
      <c r="M2" s="11" t="n">
        <v>66.46</v>
      </c>
      <c r="N2" s="11" t="n">
        <v>38</v>
      </c>
      <c r="O2" s="11" t="n">
        <v>118</v>
      </c>
      <c r="P2" s="9" t="n">
        <v>3855500</v>
      </c>
      <c r="Q2" s="9" t="n">
        <v>5000000</v>
      </c>
      <c r="R2" s="10" t="n">
        <v>77.11</v>
      </c>
      <c r="S2" s="7" t="inlineStr">
        <is>
          <t>active</t>
        </is>
      </c>
      <c r="T2" s="8" t="n">
        <v>1</v>
      </c>
    </row>
    <row r="3">
      <c r="A3" s="6" t="inlineStr">
        <is>
          <t>payflow</t>
        </is>
      </c>
      <c r="B3" s="8" t="n">
        <v>28</v>
      </c>
      <c r="C3" s="10" t="n">
        <v>14.74</v>
      </c>
      <c r="D3" s="10" t="n">
        <v>35</v>
      </c>
      <c r="E3" s="9" t="n">
        <v>-20.26</v>
      </c>
      <c r="F3" s="9" t="n">
        <v>386900</v>
      </c>
      <c r="G3" s="10" t="n">
        <v>5.62</v>
      </c>
      <c r="H3" s="10" t="n">
        <v>65.0</v>
      </c>
      <c r="I3" s="8" t="n">
        <v>18</v>
      </c>
      <c r="J3" s="8" t="n">
        <v>3</v>
      </c>
      <c r="K3" s="8" t="n">
        <v>7</v>
      </c>
      <c r="L3" s="10" t="n">
        <v>64.29</v>
      </c>
      <c r="M3" s="11" t="n">
        <v>205.39</v>
      </c>
      <c r="N3" s="11" t="n">
        <v>67.5</v>
      </c>
      <c r="O3" s="11" t="n">
        <v>689</v>
      </c>
      <c r="P3" s="9" t="n">
        <v>2999400</v>
      </c>
      <c r="Q3" s="9" t="n">
        <v>3000000</v>
      </c>
      <c r="R3" s="10" t="n">
        <v>99.98</v>
      </c>
      <c r="S3" s="7" t="inlineStr">
        <is>
          <t>active</t>
        </is>
      </c>
      <c r="T3" s="8" t="n">
        <v>2</v>
      </c>
    </row>
    <row r="4">
      <c r="A4" s="6" t="inlineStr">
        <is>
          <t>quickpay</t>
        </is>
      </c>
      <c r="B4" s="8" t="n">
        <v>87</v>
      </c>
      <c r="C4" s="10" t="n">
        <v>45.79</v>
      </c>
      <c r="D4" s="10" t="n">
        <v>25</v>
      </c>
      <c r="E4" s="9" t="n">
        <v>20.79</v>
      </c>
      <c r="F4" s="9" t="n">
        <v>4622000</v>
      </c>
      <c r="G4" s="10" t="n">
        <v>67.11</v>
      </c>
      <c r="H4" s="10" t="n">
        <v>25.0</v>
      </c>
      <c r="I4" s="8" t="n">
        <v>74</v>
      </c>
      <c r="J4" s="8" t="n">
        <v>7</v>
      </c>
      <c r="K4" s="8" t="n">
        <v>6</v>
      </c>
      <c r="L4" s="10" t="n">
        <v>85.06</v>
      </c>
      <c r="M4" s="11" t="n">
        <v>75.43</v>
      </c>
      <c r="N4" s="11" t="n">
        <v>29</v>
      </c>
      <c r="O4" s="11" t="n">
        <v>419</v>
      </c>
      <c r="P4" s="9" t="n">
        <v>3837000</v>
      </c>
      <c r="Q4" s="9" t="n">
        <v>8000000</v>
      </c>
      <c r="R4" s="10" t="n">
        <v>47.96</v>
      </c>
      <c r="S4" s="7" t="inlineStr">
        <is>
          <t>active</t>
        </is>
      </c>
      <c r="T4" s="8" t="n">
        <v>3</v>
      </c>
    </row>
    <row r="5">
      <c r="A5" s="6" t="inlineStr">
        <is>
          <t>spacepayments</t>
        </is>
      </c>
      <c r="B5" s="8" t="n">
        <v>4</v>
      </c>
      <c r="C5" s="10" t="n">
        <v>2.11</v>
      </c>
      <c r="D5" s="10" t="n">
        <v>0</v>
      </c>
      <c r="E5" s="9" t="n">
        <v>2.11</v>
      </c>
      <c r="F5" s="9" t="n">
        <v>3600</v>
      </c>
      <c r="G5" s="10" t="n">
        <v>0.05</v>
      </c>
      <c r="H5" s="10"/>
      <c r="I5" s="8" t="n">
        <v>4</v>
      </c>
      <c r="J5" s="8" t="n">
        <v>0</v>
      </c>
      <c r="K5" s="8" t="n">
        <v>0</v>
      </c>
      <c r="L5" s="10" t="n">
        <v>100</v>
      </c>
      <c r="M5" s="11" t="n">
        <v>15</v>
      </c>
      <c r="N5" s="11" t="n">
        <v>15</v>
      </c>
      <c r="O5" s="11" t="n">
        <v>15</v>
      </c>
      <c r="P5" s="9" t="n">
        <v>3600</v>
      </c>
      <c r="Q5" s="9"/>
      <c r="R5" s="10"/>
      <c r="S5" s="7" t="inlineStr">
        <is>
          <t>active</t>
        </is>
      </c>
      <c r="T5" s="8" t="n">
        <v>99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2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2" min="1" max="1" bestFit="1" customWidth="1"/>
    <col width="18" min="2" max="2" bestFit="1" customWidth="1"/>
    <col width="4" min="3" max="3" bestFit="1" customWidth="1"/>
    <col width="16" min="4" max="4" bestFit="1" customWidth="1"/>
    <col width="16" min="5" max="5" bestFit="1" customWidth="1"/>
    <col width="16" min="6" max="6" bestFit="1" customWidth="1"/>
  </cols>
  <sheetData>
    <row customHeight="1" ht="26" r="1">
      <c r="A1" s="3" t="inlineStr">
        <is>
          <t>ROUTING / ATTEMPT ANALYTICS</t>
        </is>
      </c>
    </row>
    <row r="2"/>
    <row r="3">
      <c r="A3" s="5" t="inlineStr">
        <is>
          <t>Metric</t>
        </is>
      </c>
      <c r="B3" s="5" t="inlineStr">
        <is>
          <t>Value</t>
        </is>
      </c>
    </row>
    <row r="4">
      <c r="A4" s="6" t="inlineStr">
        <is>
          <t>Operations with attempt logs</t>
        </is>
      </c>
      <c r="B4" s="7" t="n">
        <v>90</v>
      </c>
    </row>
    <row r="5">
      <c r="A5" s="6" t="inlineStr">
        <is>
          <t>Recorded attempts</t>
        </is>
      </c>
      <c r="B5" s="7" t="n">
        <v>238</v>
      </c>
    </row>
    <row r="6">
      <c r="A6" s="6" t="inlineStr">
        <is>
          <t>Average recorded attempts</t>
        </is>
      </c>
      <c r="B6" s="7" t="n">
        <v>2.64</v>
      </c>
    </row>
    <row r="7">
      <c r="A7" s="6" t="inlineStr">
        <is>
          <t>First-choice operations</t>
        </is>
      </c>
      <c r="B7" s="7" t="n">
        <v>86</v>
      </c>
    </row>
    <row r="8">
      <c r="A8" s="6" t="inlineStr">
        <is>
          <t>First-choice approval %</t>
        </is>
      </c>
      <c r="B8" s="7" t="n">
        <v>100</v>
      </c>
    </row>
    <row r="9">
      <c r="A9" s="6" t="inlineStr">
        <is>
          <t>Fallback operations</t>
        </is>
      </c>
      <c r="B9" s="7" t="n">
        <v>4</v>
      </c>
    </row>
    <row r="10">
      <c r="A10" s="6" t="inlineStr">
        <is>
          <t>Classification coverage %</t>
        </is>
      </c>
      <c r="B10" s="7" t="n">
        <v>100</v>
      </c>
    </row>
    <row r="11"/>
    <row r="12">
      <c r="A12" s="5" t="inlineStr">
        <is>
          <t>Attempts per operation</t>
        </is>
      </c>
      <c r="B12" s="5" t="inlineStr">
        <is>
          <t>Operations</t>
        </is>
      </c>
    </row>
    <row r="13">
      <c r="A13" s="8" t="n">
        <v>1</v>
      </c>
      <c r="B13" s="8" t="n">
        <v>1</v>
      </c>
    </row>
    <row r="14">
      <c r="A14" s="8" t="n">
        <v>2</v>
      </c>
      <c r="B14" s="8" t="n">
        <v>34</v>
      </c>
    </row>
    <row r="15">
      <c r="A15" s="8" t="n">
        <v>3</v>
      </c>
      <c r="B15" s="8" t="n">
        <v>51</v>
      </c>
    </row>
    <row r="16">
      <c r="A16" s="8" t="n">
        <v>4</v>
      </c>
      <c r="B16" s="8" t="n">
        <v>4</v>
      </c>
    </row>
    <row r="17"/>
    <row r="18">
      <c r="A18" s="5" t="inlineStr">
        <is>
          <t>Decision</t>
        </is>
      </c>
      <c r="B18" s="5" t="inlineStr">
        <is>
          <t>Count</t>
        </is>
      </c>
    </row>
    <row r="19">
      <c r="A19" s="6" t="inlineStr">
        <is>
          <t>selected</t>
        </is>
      </c>
      <c r="B19" s="8" t="n">
        <v>90</v>
      </c>
    </row>
    <row r="20">
      <c r="A20" s="6" t="inlineStr">
        <is>
          <t>skipped</t>
        </is>
      </c>
      <c r="B20" s="8" t="n">
        <v>148</v>
      </c>
    </row>
    <row r="21"/>
    <row r="22">
      <c r="A22" s="5" t="inlineStr">
        <is>
          <t>Skip reason</t>
        </is>
      </c>
      <c r="B22" s="5" t="inlineStr">
        <is>
          <t>Count</t>
        </is>
      </c>
    </row>
    <row r="23">
      <c r="A23" s="6" t="inlineStr">
        <is>
          <t>bank_not_in_list</t>
        </is>
      </c>
      <c r="B23" s="8" t="n">
        <v>106</v>
      </c>
    </row>
    <row r="24">
      <c r="A24" s="6" t="inlineStr">
        <is>
          <t>daily_amount_limit_exceeded</t>
        </is>
      </c>
      <c r="B24" s="8" t="n">
        <v>63</v>
      </c>
    </row>
    <row r="25">
      <c r="A25" s="6" t="inlineStr">
        <is>
          <t>amount_exceeds_limit</t>
        </is>
      </c>
      <c r="B25" s="8" t="n">
        <v>33</v>
      </c>
    </row>
    <row r="26">
      <c r="A26" s="6" t="inlineStr">
        <is>
          <t>amount_below_minimum</t>
        </is>
      </c>
      <c r="B26" s="8" t="n">
        <v>16</v>
      </c>
    </row>
  </sheetData>
  <sheetCalcPr fullCalcOnLoad="1"/>
  <mergeCells count="1">
    <mergeCell ref="A1:F1"/>
  </mergeCells>
  <printOptions gridLines="0" headings="0" horizontalCentered="0" verticalCentered="0"/>
  <pageMargins left="0.75" right="0.75" top="1.0" bottom="1.0" header="0.5" footer="0.5"/>
  <pageSetup/>
  <headerFooter/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0" min="1" max="1" bestFit="1" customWidth="1"/>
    <col width="12" min="2" max="2" bestFit="1" customWidth="1"/>
    <col width="18" min="3" max="3" bestFit="1" customWidth="1"/>
    <col width="18" min="4" max="4" bestFit="1" customWidth="1"/>
    <col width="18" min="5" max="5" bestFit="1" customWidth="1"/>
    <col width="18" min="6" max="6" bestFit="1" customWidth="1"/>
    <col width="18" min="7" max="7" bestFit="1" customWidth="1"/>
  </cols>
  <sheetData>
    <row customHeight="1" ht="26" r="1">
      <c r="A1" s="3" t="inlineStr">
        <is>
          <t>BANK × PROVIDER APPROVAL RATE</t>
        </is>
      </c>
    </row>
    <row customHeight="1" ht="32" r="2">
      <c r="A2" s="5" t="inlineStr">
        <is>
          <t>Bank</t>
        </is>
      </c>
      <c r="B2" s="5" t="inlineStr">
        <is>
          <t>Operations</t>
        </is>
      </c>
      <c r="C2" s="5" t="inlineStr">
        <is>
          <t>Overall approval %</t>
        </is>
      </c>
      <c r="D2" s="5" t="inlineStr">
        <is>
          <t>vipay approval %</t>
        </is>
      </c>
      <c r="E2" s="5" t="inlineStr">
        <is>
          <t>payflow approval %</t>
        </is>
      </c>
      <c r="F2" s="5" t="inlineStr">
        <is>
          <t>quickpay approval %</t>
        </is>
      </c>
      <c r="G2" s="5" t="inlineStr">
        <is>
          <t>spacepayments approval %</t>
        </is>
      </c>
    </row>
    <row r="3">
      <c r="A3" s="6" t="inlineStr">
        <is>
          <t>alfa</t>
        </is>
      </c>
      <c r="B3" s="8" t="n">
        <v>39</v>
      </c>
      <c r="C3" s="19" t="n">
        <v>74.36</v>
      </c>
      <c r="D3" s="19" t="n">
        <v>62.5</v>
      </c>
      <c r="E3" s="19" t="n">
        <v>61.54</v>
      </c>
      <c r="F3" s="20" t="n">
        <v>88.24</v>
      </c>
      <c r="G3" s="20" t="n">
        <v>100</v>
      </c>
    </row>
    <row r="4">
      <c r="A4" s="6" t="inlineStr">
        <is>
          <t>gazprombank</t>
        </is>
      </c>
      <c r="B4" s="8" t="n">
        <v>27</v>
      </c>
      <c r="C4" s="20" t="n">
        <v>88.89</v>
      </c>
      <c r="D4" s="20" t="n">
        <v>80</v>
      </c>
      <c r="E4" s="17"/>
      <c r="F4" s="20" t="n">
        <v>90.91</v>
      </c>
      <c r="G4" s="17"/>
    </row>
    <row r="5">
      <c r="A5" s="6" t="inlineStr">
        <is>
          <t>raiffeisen</t>
        </is>
      </c>
      <c r="B5" s="8" t="n">
        <v>33</v>
      </c>
      <c r="C5" s="20" t="n">
        <v>84.85</v>
      </c>
      <c r="D5" s="20" t="n">
        <v>85.71</v>
      </c>
      <c r="E5" s="18" t="n">
        <v>50</v>
      </c>
      <c r="F5" s="20" t="n">
        <v>90.48</v>
      </c>
      <c r="G5" s="20" t="n">
        <v>100</v>
      </c>
    </row>
    <row r="6">
      <c r="A6" s="6" t="inlineStr">
        <is>
          <t>sberbank</t>
        </is>
      </c>
      <c r="B6" s="8" t="n">
        <v>32</v>
      </c>
      <c r="C6" s="20" t="n">
        <v>84.38</v>
      </c>
      <c r="D6" s="20" t="n">
        <v>94.12</v>
      </c>
      <c r="E6" s="20" t="n">
        <v>100</v>
      </c>
      <c r="F6" s="18" t="n">
        <v>50</v>
      </c>
      <c r="G6" s="20" t="n">
        <v>100</v>
      </c>
    </row>
    <row r="7">
      <c r="A7" s="6" t="inlineStr">
        <is>
          <t>tinkoff</t>
        </is>
      </c>
      <c r="B7" s="8" t="n">
        <v>27</v>
      </c>
      <c r="C7" s="20" t="n">
        <v>81.48</v>
      </c>
      <c r="D7" s="20" t="n">
        <v>93.75</v>
      </c>
      <c r="E7" s="18" t="n">
        <v>0</v>
      </c>
      <c r="F7" s="19" t="n">
        <v>75</v>
      </c>
      <c r="G7" s="20" t="n">
        <v>100</v>
      </c>
    </row>
    <row r="8">
      <c r="A8" s="6" t="inlineStr">
        <is>
          <t>vtb</t>
        </is>
      </c>
      <c r="B8" s="8" t="n">
        <v>32</v>
      </c>
      <c r="C8" s="20" t="n">
        <v>87.5</v>
      </c>
      <c r="D8" s="20" t="n">
        <v>88.89</v>
      </c>
      <c r="E8" s="19" t="n">
        <v>66.67</v>
      </c>
      <c r="F8" s="20" t="n">
        <v>90.91</v>
      </c>
      <c r="G8" s="17"/>
    </row>
    <row r="9"/>
    <row r="10">
      <c r="A10" s="4" t="inlineStr">
        <is>
          <t>AMOUNT BAND × PROVIDER APPROVAL RATE</t>
        </is>
      </c>
    </row>
    <row customHeight="1" ht="32" r="11">
      <c r="A11" s="5" t="inlineStr">
        <is>
          <t>Amount band</t>
        </is>
      </c>
      <c r="B11" s="5" t="inlineStr">
        <is>
          <t>Operations</t>
        </is>
      </c>
      <c r="C11" s="5" t="inlineStr">
        <is>
          <t>Overall approval %</t>
        </is>
      </c>
      <c r="D11" s="5" t="inlineStr">
        <is>
          <t>vipay approval %</t>
        </is>
      </c>
      <c r="E11" s="5" t="inlineStr">
        <is>
          <t>payflow approval %</t>
        </is>
      </c>
      <c r="F11" s="5" t="inlineStr">
        <is>
          <t>quickpay approval %</t>
        </is>
      </c>
      <c r="G11" s="5" t="inlineStr">
        <is>
          <t>spacepayments approval %</t>
        </is>
      </c>
    </row>
    <row r="12">
      <c r="A12" s="6" t="inlineStr">
        <is>
          <t>0_1000</t>
        </is>
      </c>
      <c r="B12" s="8" t="n">
        <v>8</v>
      </c>
      <c r="C12" s="20" t="n">
        <v>100</v>
      </c>
      <c r="D12" s="17"/>
      <c r="E12" s="20" t="n">
        <v>100</v>
      </c>
      <c r="F12" s="17"/>
      <c r="G12" s="20" t="n">
        <v>100</v>
      </c>
    </row>
    <row r="13">
      <c r="A13" s="6" t="inlineStr">
        <is>
          <t>1000_10000</t>
        </is>
      </c>
      <c r="B13" s="8" t="n">
        <v>57</v>
      </c>
      <c r="C13" s="19" t="n">
        <v>77.19</v>
      </c>
      <c r="D13" s="20" t="n">
        <v>83.33</v>
      </c>
      <c r="E13" s="18" t="n">
        <v>58.33</v>
      </c>
      <c r="F13" s="20" t="n">
        <v>80.95</v>
      </c>
      <c r="G13" s="17"/>
    </row>
    <row r="14">
      <c r="A14" s="6" t="inlineStr">
        <is>
          <t>10000_50000</t>
        </is>
      </c>
      <c r="B14" s="8" t="n">
        <v>76</v>
      </c>
      <c r="C14" s="20" t="n">
        <v>84.21</v>
      </c>
      <c r="D14" s="20" t="n">
        <v>85.71</v>
      </c>
      <c r="E14" s="18" t="n">
        <v>58.33</v>
      </c>
      <c r="F14" s="20" t="n">
        <v>93.1</v>
      </c>
      <c r="G14" s="17"/>
    </row>
    <row r="15">
      <c r="A15" s="6" t="inlineStr">
        <is>
          <t>50000_100000</t>
        </is>
      </c>
      <c r="B15" s="8" t="n">
        <v>34</v>
      </c>
      <c r="C15" s="20" t="n">
        <v>88.24</v>
      </c>
      <c r="D15" s="20" t="n">
        <v>100</v>
      </c>
      <c r="E15" s="17"/>
      <c r="F15" s="20" t="n">
        <v>81.82</v>
      </c>
      <c r="G15" s="17"/>
    </row>
    <row r="16">
      <c r="A16" s="6" t="inlineStr">
        <is>
          <t>100000_plus</t>
        </is>
      </c>
      <c r="B16" s="8" t="n">
        <v>15</v>
      </c>
      <c r="C16" s="20" t="n">
        <v>80</v>
      </c>
      <c r="D16" s="17"/>
      <c r="E16" s="17"/>
      <c r="F16" s="20" t="n">
        <v>80</v>
      </c>
      <c r="G16" s="17"/>
    </row>
    <row r="17">
      <c r="A17" s="6" t="inlineStr">
        <is>
          <t>unknown</t>
        </is>
      </c>
      <c r="B17" s="8" t="n">
        <v>0</v>
      </c>
      <c r="C17" s="17"/>
      <c r="D17" s="17"/>
      <c r="E17" s="17"/>
      <c r="F17" s="17"/>
      <c r="G17" s="17"/>
    </row>
  </sheetData>
  <sheetCalcPr fullCalcOnLoad="1"/>
  <mergeCells count="2">
    <mergeCell ref="A1:G1"/>
    <mergeCell ref="A10:G10"/>
  </mergeCells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" min="1" max="1" bestFit="1" customWidth="1"/>
    <col width="33.0" min="2" max="2" bestFit="1" customWidth="1"/>
    <col width="33.0" min="3" max="3" bestFit="1" customWidth="1"/>
    <col width="18" min="4" max="4" bestFit="1" customWidth="1"/>
    <col width="20" min="5" max="5" bestFit="1" customWidth="1"/>
    <col width="20" min="6" max="6" bestFit="1" customWidth="1"/>
  </cols>
  <sheetData>
    <row customHeight="1" ht="26" r="1">
      <c r="A1" s="3" t="inlineStr">
        <is>
          <t>CURRENT vs PREVIOUS PERIOD</t>
        </is>
      </c>
    </row>
    <row r="2"/>
    <row r="3">
      <c r="A3" s="5" t="inlineStr">
        <is>
          <t>Metric</t>
        </is>
      </c>
      <c r="B3" s="5" t="inlineStr">
        <is>
          <t>Current</t>
        </is>
      </c>
      <c r="C3" s="5" t="inlineStr">
        <is>
          <t>Previous</t>
        </is>
      </c>
      <c r="D3" s="5" t="inlineStr">
        <is>
          <t>Delta</t>
        </is>
      </c>
    </row>
    <row r="4">
      <c r="A4" s="6" t="inlineStr">
        <is>
          <t>Operations</t>
        </is>
      </c>
      <c r="B4" s="9" t="n">
        <v>90</v>
      </c>
      <c r="C4" s="9" t="n">
        <v>100</v>
      </c>
      <c r="D4" s="9" t="str">
        <f>B4-C4</f>
        <v>-10</v>
      </c>
    </row>
    <row r="5">
      <c r="A5" s="6" t="inlineStr">
        <is>
          <t>Amount</t>
        </is>
      </c>
      <c r="B5" s="9" t="n">
        <v>3495500</v>
      </c>
      <c r="C5" s="9" t="n">
        <v>3391500</v>
      </c>
      <c r="D5" s="9" t="str">
        <f>B5-C5</f>
        <v>104000</v>
      </c>
    </row>
    <row r="6">
      <c r="A6" s="6" t="inlineStr">
        <is>
          <t>Approval rate %</t>
        </is>
      </c>
      <c r="B6" s="9" t="n">
        <v>100</v>
      </c>
      <c r="C6" s="9" t="n">
        <v>68</v>
      </c>
      <c r="D6" s="9" t="str">
        <f>B6-C6</f>
        <v>32</v>
      </c>
    </row>
    <row r="7">
      <c r="A7" s="6" t="inlineStr">
        <is>
          <t>Avg latency sec</t>
        </is>
      </c>
      <c r="B7" s="9" t="n">
        <v>33.68</v>
      </c>
      <c r="C7" s="9" t="n">
        <v>140.61</v>
      </c>
      <c r="D7" s="9" t="str">
        <f>B7-C7</f>
        <v>-106.93</v>
      </c>
    </row>
    <row r="8"/>
    <row r="9">
      <c r="A9" s="5" t="inlineStr">
        <is>
          <t>Provider</t>
        </is>
      </c>
      <c r="B9" s="5" t="inlineStr">
        <is>
          <t>Current share %</t>
        </is>
      </c>
      <c r="C9" s="5" t="inlineStr">
        <is>
          <t>Previous share %</t>
        </is>
      </c>
      <c r="D9" s="5" t="inlineStr">
        <is>
          <t>Share delta pp</t>
        </is>
      </c>
      <c r="E9" s="5" t="inlineStr">
        <is>
          <t>Current approval %</t>
        </is>
      </c>
      <c r="F9" s="5" t="inlineStr">
        <is>
          <t>Previous approval %</t>
        </is>
      </c>
    </row>
    <row r="10">
      <c r="A10" s="6" t="inlineStr">
        <is>
          <t>payflow</t>
        </is>
      </c>
      <c r="B10" s="10" t="n">
        <v>10</v>
      </c>
      <c r="C10" s="10" t="n">
        <v>19</v>
      </c>
      <c r="D10" s="9" t="n">
        <v>-9</v>
      </c>
      <c r="E10" s="10" t="n">
        <v>100</v>
      </c>
      <c r="F10" s="10" t="n">
        <v>47.37</v>
      </c>
    </row>
    <row r="11">
      <c r="A11" s="6" t="inlineStr">
        <is>
          <t>quickpay</t>
        </is>
      </c>
      <c r="B11" s="10" t="n">
        <v>52.22</v>
      </c>
      <c r="C11" s="10" t="n">
        <v>40</v>
      </c>
      <c r="D11" s="9" t="n">
        <v>12.219999999999999</v>
      </c>
      <c r="E11" s="10" t="n">
        <v>100</v>
      </c>
      <c r="F11" s="10" t="n">
        <v>67.5</v>
      </c>
    </row>
    <row r="12">
      <c r="A12" s="6" t="inlineStr">
        <is>
          <t>spacepayments</t>
        </is>
      </c>
      <c r="B12" s="10" t="n">
        <v>4.44</v>
      </c>
      <c r="C12" s="10"/>
      <c r="D12" s="9"/>
      <c r="E12" s="10" t="n">
        <v>100</v>
      </c>
      <c r="F12" s="10"/>
    </row>
    <row r="13">
      <c r="A13" s="6" t="inlineStr">
        <is>
          <t>vipay</t>
        </is>
      </c>
      <c r="B13" s="10" t="n">
        <v>33.33</v>
      </c>
      <c r="C13" s="10" t="n">
        <v>41</v>
      </c>
      <c r="D13" s="9" t="n">
        <v>-7.670000000000002</v>
      </c>
      <c r="E13" s="10" t="n">
        <v>100</v>
      </c>
      <c r="F13" s="10" t="n">
        <v>78.05</v>
      </c>
    </row>
    <row r="14"/>
    <row r="15">
      <c r="A15" s="5" t="inlineStr">
        <is>
          <t>Period</t>
        </is>
      </c>
      <c r="B15" s="5" t="inlineStr">
        <is>
          <t>From (inclusive)</t>
        </is>
      </c>
      <c r="C15" s="5" t="inlineStr">
        <is>
          <t>To (exclusive)</t>
        </is>
      </c>
    </row>
    <row r="16">
      <c r="A16" s="6" t="inlineStr">
        <is>
          <t>Current</t>
        </is>
      </c>
      <c r="B16" s="6" t="inlineStr">
        <is>
          <t>2026-07-30T00:00:00.000000Z</t>
        </is>
      </c>
      <c r="C16" s="6" t="inlineStr">
        <is>
          <t>2026-07-31T00:00:00.000000Z</t>
        </is>
      </c>
    </row>
    <row r="17">
      <c r="A17" s="6" t="inlineStr">
        <is>
          <t>Previous</t>
        </is>
      </c>
      <c r="B17" s="6" t="inlineStr">
        <is>
          <t>2026-07-29T00:00:00.000000Z</t>
        </is>
      </c>
      <c r="C17" s="6" t="inlineStr">
        <is>
          <t>2026-07-30T00:00:00.000000Z</t>
        </is>
      </c>
    </row>
  </sheetData>
  <sheetCalcPr fullCalcOnLoad="1"/>
  <mergeCells count="1">
    <mergeCell ref="A1:F1"/>
  </mergeCells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.9" min="1" max="1" bestFit="1" customWidth="1"/>
    <col width="120" min="2" max="2" bestFit="1" customWidth="1"/>
  </cols>
  <sheetData>
    <row customHeight="1" ht="26" r="1">
      <c r="A1" s="3" t="inlineStr">
        <is>
          <t>ROUTING ENGINE RECOMMENDATIONS</t>
        </is>
      </c>
    </row>
    <row r="2">
      <c r="A2" s="5" t="inlineStr">
        <is>
          <t>#</t>
        </is>
      </c>
      <c r="B2" s="5" t="inlineStr">
        <is>
          <t>Recommendation</t>
        </is>
      </c>
    </row>
    <row customHeight="1" ht="40" r="3">
      <c r="A3" s="8" t="n">
        <v>1</v>
      </c>
      <c r="B3" s="21" t="inlineStr">
        <is>
          <t>payflow: дневной лимит использован на 99.98%, доля количества ниже цели на 25 п.п.; увеличить доступную ёмкость или снизить целевую долю.</t>
        </is>
      </c>
    </row>
    <row customHeight="1" ht="40" r="4">
      <c r="A4" s="8" t="n">
        <v>2</v>
      </c>
      <c r="B4" s="21" t="inlineStr">
        <is>
          <t>quickpay: доля количества выше цели на 27.22 п.п.; снизить вес распределения по количеству среди допустимых провайдеров.</t>
        </is>
      </c>
    </row>
    <row customHeight="1" ht="38" r="5">
      <c r="A5" s="8" t="n">
        <v>3</v>
      </c>
      <c r="B5" s="21" t="inlineStr">
        <is>
          <t>quickpay: доля суммы выше цели на 53.3 п.п.; снизить вес распределения по объёму.</t>
        </is>
      </c>
    </row>
    <row customHeight="1" ht="40" r="6">
      <c r="A6" s="8" t="n">
        <v>4</v>
      </c>
      <c r="B6" s="21" t="inlineStr">
        <is>
          <t>vipay: среди пропусков доминирует причина «банк не входит в список доступных» (41); скорректировать правила провайдера либо стратегию маршрутизации по этой причине.</t>
        </is>
      </c>
    </row>
    <row customHeight="1" ht="40" r="7">
      <c r="A7" s="8" t="n">
        <v>5</v>
      </c>
      <c r="B7" s="21" t="inlineStr">
        <is>
          <t>vipay: частые пропуски по причине «банк не входит в список доступных» (41 из 89 операций); не увеличивать глобальную долю провайдера; учитывать доступность по банкам.</t>
        </is>
      </c>
    </row>
    <row customHeight="1" ht="40" r="8">
      <c r="A8" s="8" t="n">
        <v>6</v>
      </c>
      <c r="B8" s="21" t="inlineStr">
        <is>
          <t>payflow: частые пропуски по причине «сумма превышает допустимый предел» (23 из 90 операций); перенаправлять крупные операции к провайдерам с большим диапазоном сумм.</t>
        </is>
      </c>
    </row>
    <row customHeight="1" ht="40" r="9">
      <c r="A9" s="8" t="n">
        <v>7</v>
      </c>
      <c r="B9" s="21" t="inlineStr">
        <is>
          <t>payflow: среди пропусков доминирует причина «дневной лимит суммы исчерпан» (45); скорректировать правила провайдера либо стратегию маршрутизации по этой причине.</t>
        </is>
      </c>
    </row>
    <row customHeight="1" ht="40" r="10">
      <c r="A10" s="8" t="n">
        <v>8</v>
      </c>
      <c r="B10" s="21" t="inlineStr">
        <is>
          <t>payflow: частые пропуски по причине «дневной лимит суммы исчерпан» (45 из 90 операций); уменьшить целевую долю либо увеличить дневной лимит; дальнейшее повышение веса бессмысленно.</t>
        </is>
      </c>
    </row>
    <row customHeight="1" ht="40" r="11">
      <c r="A11" s="8" t="n">
        <v>9</v>
      </c>
      <c r="B11" s="21" t="inlineStr">
        <is>
          <t>quickpay: среди пропусков доминирует причина «код причины «amount_below_minimum»» (8); скорректировать правила провайдера либо стратегию маршрутизации по этой причине.</t>
        </is>
      </c>
    </row>
    <row customHeight="1" ht="40" r="12">
      <c r="A12" s="8" t="n">
        <v>10</v>
      </c>
      <c r="B12" s="21" t="inlineStr">
        <is>
          <t>Для 61.11% операций с проверкой доступности имеется не более одного допустимого провайдера; высок риск отсутствия маршрута, расширить покрытие провайдеров и пересмотреть ограничения.</t>
        </is>
      </c>
    </row>
    <row r="13"/>
    <row r="14">
      <c r="A14" s="6" t="inlineStr">
        <is>
          <t>Period</t>
        </is>
      </c>
      <c r="B14" s="6" t="inlineStr">
        <is>
          <t>2026-07-30</t>
        </is>
      </c>
    </row>
  </sheetData>
  <sheetCalcPr fullCalcOnLoad="1"/>
  <mergeCells count="1">
    <mergeCell ref="A1:B1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2026-09-07T02:33:23Z</dcterms:created>
  <cp:revision>0</cp:revision>
</cp:coreProperties>
</file>